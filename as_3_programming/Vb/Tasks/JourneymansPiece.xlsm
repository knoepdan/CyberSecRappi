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EducationRappi\Github\CyberSecRappi\as_3_programming\Vb\Tasks\"/>
    </mc:Choice>
  </mc:AlternateContent>
  <xr:revisionPtr revIDLastSave="0" documentId="13_ncr:1_{D1550213-D046-42B1-A0C4-025AD6E7FBDB}" xr6:coauthVersionLast="47" xr6:coauthVersionMax="47" xr10:uidLastSave="{00000000-0000-0000-0000-000000000000}"/>
  <bookViews>
    <workbookView xWindow="-53820" yWindow="5190" windowWidth="16755" windowHeight="9450" xr2:uid="{C5261F7E-71F2-6848-B70A-6A3B5352EC62}"/>
  </bookViews>
  <sheets>
    <sheet name="Cockpit" sheetId="6" r:id="rId1"/>
    <sheet name="Data" sheetId="3" r:id="rId2"/>
    <sheet name="Parameters" sheetId="5" r:id="rId3"/>
    <sheet name="Enrich" sheetId="4" r:id="rId4"/>
    <sheet name="Raw" sheetId="1" r:id="rId5"/>
    <sheet name="Formulas" sheetId="2" r:id="rId6"/>
  </sheets>
  <definedNames>
    <definedName name="PARAM.CHARGE.TYPE">Parameters!$A:$F</definedName>
    <definedName name="PARAM.CHARGE.TYPE_LOCATION">Parameters!$H:$N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" i="3" l="1"/>
  <c r="C1" i="3"/>
  <c r="D1" i="3"/>
  <c r="E1" i="3"/>
  <c r="F1" i="3"/>
  <c r="G1" i="3"/>
  <c r="H1" i="3"/>
  <c r="I1" i="3"/>
  <c r="J1" i="3"/>
  <c r="K1" i="3"/>
  <c r="L1" i="3"/>
  <c r="A1" i="3"/>
  <c r="L2" i="2" l="1" a="1"/>
  <c r="L2" i="2" s="1"/>
  <c r="K2" i="2" a="1"/>
  <c r="K2" i="2" s="1"/>
  <c r="I2" i="2" a="1"/>
  <c r="I2" i="2" s="1"/>
  <c r="H2" i="2"/>
  <c r="H4" i="5"/>
  <c r="H3" i="5"/>
  <c r="H2" i="5"/>
  <c r="A3" i="5"/>
  <c r="A2" i="5"/>
  <c r="E3" i="5"/>
  <c r="E2" i="5"/>
  <c r="M4" i="5"/>
  <c r="M3" i="5"/>
  <c r="M2" i="5"/>
  <c r="A2" i="2"/>
  <c r="G2" i="2"/>
  <c r="F2" i="2"/>
  <c r="E2" i="2"/>
  <c r="D2" i="2"/>
  <c r="C2" i="2"/>
  <c r="B2" i="2"/>
  <c r="J2" i="2" l="1" a="1"/>
  <c r="J2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<sst xmlns="http://schemas.openxmlformats.org/spreadsheetml/2006/main" count="106" uniqueCount="41">
  <si>
    <t>ID</t>
  </si>
  <si>
    <t>Name</t>
  </si>
  <si>
    <t>Description</t>
  </si>
  <si>
    <t>Cost Center</t>
  </si>
  <si>
    <t>Location</t>
  </si>
  <si>
    <t>Quantity</t>
  </si>
  <si>
    <t>Charge</t>
  </si>
  <si>
    <t>Patching</t>
  </si>
  <si>
    <t>D</t>
  </si>
  <si>
    <t>W</t>
  </si>
  <si>
    <t>M</t>
  </si>
  <si>
    <t>Upgrading</t>
  </si>
  <si>
    <t>Q</t>
  </si>
  <si>
    <t>Y</t>
  </si>
  <si>
    <t>Response</t>
  </si>
  <si>
    <t>R1</t>
  </si>
  <si>
    <t>R2</t>
  </si>
  <si>
    <t>R3</t>
  </si>
  <si>
    <t>Criticality</t>
  </si>
  <si>
    <t>U</t>
  </si>
  <si>
    <t>H</t>
  </si>
  <si>
    <t>Type</t>
  </si>
  <si>
    <t>Base</t>
  </si>
  <si>
    <t>Marginal</t>
  </si>
  <si>
    <t>Count</t>
  </si>
  <si>
    <t>Unit Cost</t>
  </si>
  <si>
    <t>A</t>
  </si>
  <si>
    <t>B</t>
  </si>
  <si>
    <t>Z</t>
  </si>
  <si>
    <t>A1</t>
  </si>
  <si>
    <t>A2</t>
  </si>
  <si>
    <t>B1</t>
  </si>
  <si>
    <t>B1: …</t>
  </si>
  <si>
    <t>A2: …</t>
  </si>
  <si>
    <t>A1: …</t>
  </si>
  <si>
    <t>C1</t>
  </si>
  <si>
    <t>C2</t>
  </si>
  <si>
    <t>Inventory</t>
  </si>
  <si>
    <t>AZ1</t>
  </si>
  <si>
    <t>AB1</t>
  </si>
  <si>
    <t>BZ1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</si>
</sst>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701040</xdr:colOff>
          <xdr:row>1</xdr:row>
          <xdr:rowOff>91440</xdr:rowOff>
        </xdr:from>
        <xdr:to>
          <xdr:col>4</xdr:col>
          <xdr:colOff>594360</xdr:colOff>
          <xdr:row>3</xdr:row>
          <xdr:rowOff>60960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CH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9EA562-24C4-2044-81B1-67CE8F6BF7AF}">
  <sheetPr codeName="Sheet6"/>
  <dimension ref="A1"/>
  <sheetViews>
    <sheetView tabSelected="1" zoomScaleNormal="100" workbookViewId="0">
      <selection activeCell="C2" sqref="C2"/>
    </sheetView>
  </sheetViews>
  <sheetFormatPr defaultColWidth="11.19921875" defaultRowHeight="15.6" x14ac:dyDescent="0.3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Enrich.Enrich">
                <anchor moveWithCells="1" sizeWithCells="1">
                  <from>
                    <xdr:col>1</xdr:col>
                    <xdr:colOff>701040</xdr:colOff>
                    <xdr:row>1</xdr:row>
                    <xdr:rowOff>91440</xdr:rowOff>
                  </from>
                  <to>
                    <xdr:col>4</xdr:col>
                    <xdr:colOff>594360</xdr:colOff>
                    <xdr:row>3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C7D22E-92DB-5047-A3F6-F564519222FE}">
  <sheetPr codeName="Sheet3"/>
  <dimension ref="A1:L4"/>
  <sheetViews>
    <sheetView workbookViewId="0">
      <selection activeCell="E4" sqref="E4"/>
    </sheetView>
  </sheetViews>
  <sheetFormatPr defaultColWidth="11.19921875" defaultRowHeight="15.6" x14ac:dyDescent="0.3"/>
  <cols>
    <col min="3" max="3" width="10.296875" bestFit="1" customWidth="1"/>
  </cols>
  <sheetData>
    <row r="1" spans="1:12" x14ac:dyDescent="0.3">
      <c r="A1" s="1" t="str">
        <f>Formulas!A1</f>
        <v>Inventory</v>
      </c>
      <c r="B1" s="1" t="str">
        <f>Formulas!B1</f>
        <v>Name</v>
      </c>
      <c r="C1" s="1" t="str">
        <f>Formulas!C1</f>
        <v>Description</v>
      </c>
      <c r="D1" s="1" t="str">
        <f>Formulas!D1</f>
        <v>Type</v>
      </c>
      <c r="E1" s="1" t="str">
        <f>Formulas!E1</f>
        <v>Location</v>
      </c>
      <c r="F1" s="1" t="str">
        <f>Formulas!F1</f>
        <v>Cost Center</v>
      </c>
      <c r="G1" s="1" t="str">
        <f>Formulas!G1</f>
        <v>Quantity</v>
      </c>
      <c r="H1" s="1" t="str">
        <f>Formulas!H1</f>
        <v>Charge</v>
      </c>
      <c r="I1" s="1" t="str">
        <f>Formulas!I1</f>
        <v>Criticality</v>
      </c>
      <c r="J1" s="1" t="str">
        <f>Formulas!J1</f>
        <v>Patching</v>
      </c>
      <c r="K1" s="1" t="str">
        <f>Formulas!K1</f>
        <v>Upgrading</v>
      </c>
      <c r="L1" s="1" t="str">
        <f>Formulas!L1</f>
        <v>Response</v>
      </c>
    </row>
    <row r="2" spans="1:12" x14ac:dyDescent="0.3">
      <c r="A2" t="s">
        <v>38</v>
      </c>
      <c r="B2" t="s">
        <v>29</v>
      </c>
      <c r="C2" t="s">
        <v>34</v>
      </c>
      <c r="D2" t="s">
        <v>26</v>
      </c>
      <c r="E2" t="s">
        <v>28</v>
      </c>
      <c r="F2" t="s">
        <v>35</v>
      </c>
      <c r="G2">
        <v>2</v>
      </c>
      <c r="H2">
        <v>310</v>
      </c>
      <c r="I2" t="s" cm="1">
        <v>19</v>
      </c>
      <c r="J2" t="s" cm="1">
        <v>8</v>
      </c>
      <c r="K2" t="s" cm="1">
        <v>12</v>
      </c>
      <c r="L2" t="s" cm="1">
        <v>15</v>
      </c>
    </row>
    <row r="3" spans="1:12" x14ac:dyDescent="0.3">
      <c r="A3" t="s">
        <v>39</v>
      </c>
      <c r="B3" t="s">
        <v>30</v>
      </c>
      <c r="C3" t="s">
        <v>33</v>
      </c>
      <c r="D3" t="s">
        <v>26</v>
      </c>
      <c r="E3" t="s">
        <v>27</v>
      </c>
      <c r="F3" t="s">
        <v>36</v>
      </c>
      <c r="G3">
        <v>4</v>
      </c>
      <c r="H3">
        <v>225</v>
      </c>
      <c r="I3" t="s" cm="1">
        <v>20</v>
      </c>
      <c r="J3" t="s" cm="1">
        <v>9</v>
      </c>
      <c r="K3" t="s" cm="1">
        <v>12</v>
      </c>
      <c r="L3" t="s" cm="1">
        <v>16</v>
      </c>
    </row>
    <row r="4" spans="1:12" x14ac:dyDescent="0.3">
      <c r="A4" t="s">
        <v>40</v>
      </c>
      <c r="B4" t="s">
        <v>31</v>
      </c>
      <c r="C4" t="s">
        <v>32</v>
      </c>
      <c r="D4" t="s">
        <v>27</v>
      </c>
      <c r="E4" t="s">
        <v>28</v>
      </c>
      <c r="F4" t="s">
        <v>35</v>
      </c>
      <c r="G4">
        <v>3</v>
      </c>
      <c r="H4">
        <v>55</v>
      </c>
      <c r="I4" t="s">
        <v>10</v>
      </c>
      <c r="J4" t="s">
        <v>10</v>
      </c>
      <c r="K4" t="s">
        <v>13</v>
      </c>
      <c r="L4" t="s">
        <v>17</v>
      </c>
    </row>
  </sheetData>
  <dataConsolidate/>
  <pageMargins left="0.7" right="0.7" top="0.75" bottom="0.75" header="0.3" footer="0.3"/>
  <pageSetup paperSize="9"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D0F9AC-34E3-6247-A97F-929A9B68BBDE}">
  <sheetPr codeName="Sheet5"/>
  <dimension ref="A1:M4"/>
  <sheetViews>
    <sheetView workbookViewId="0">
      <selection activeCell="L4" sqref="L4"/>
    </sheetView>
  </sheetViews>
  <sheetFormatPr defaultColWidth="11.19921875" defaultRowHeight="15.6" x14ac:dyDescent="0.3"/>
  <cols>
    <col min="6" max="6" width="1.69921875" customWidth="1"/>
    <col min="14" max="14" width="1.69921875" customWidth="1"/>
  </cols>
  <sheetData>
    <row r="1" spans="1:13" x14ac:dyDescent="0.3">
      <c r="A1" s="1" t="s">
        <v>25</v>
      </c>
      <c r="B1" s="1" t="s">
        <v>21</v>
      </c>
      <c r="C1" s="1" t="s">
        <v>22</v>
      </c>
      <c r="D1" s="1" t="s">
        <v>23</v>
      </c>
      <c r="E1" s="1" t="s">
        <v>24</v>
      </c>
      <c r="F1" s="1"/>
      <c r="G1" s="1"/>
      <c r="H1" s="1" t="s">
        <v>25</v>
      </c>
      <c r="I1" s="1" t="s">
        <v>21</v>
      </c>
      <c r="J1" s="1" t="s">
        <v>4</v>
      </c>
      <c r="K1" s="1" t="s">
        <v>22</v>
      </c>
      <c r="L1" s="1" t="s">
        <v>23</v>
      </c>
      <c r="M1" s="1" t="s">
        <v>24</v>
      </c>
    </row>
    <row r="2" spans="1:13" x14ac:dyDescent="0.3">
      <c r="A2">
        <f>($C2+$D2*$E2)/$E2</f>
        <v>85</v>
      </c>
      <c r="B2" t="s">
        <v>26</v>
      </c>
      <c r="C2">
        <v>100</v>
      </c>
      <c r="D2">
        <v>35</v>
      </c>
      <c r="E2">
        <f>COUNTIFS(Raw!$D:$D,Parameters!$B2)</f>
        <v>2</v>
      </c>
      <c r="H2">
        <f>($K2+$L2*$M2)/$M2</f>
        <v>225</v>
      </c>
      <c r="I2" t="s">
        <v>26</v>
      </c>
      <c r="J2" t="s">
        <v>28</v>
      </c>
      <c r="K2">
        <v>200</v>
      </c>
      <c r="L2">
        <v>25</v>
      </c>
      <c r="M2">
        <f>COUNTIFS(Raw!$D:$D,$I2, Raw!$E:$E,$J2)</f>
        <v>1</v>
      </c>
    </row>
    <row r="3" spans="1:13" x14ac:dyDescent="0.3">
      <c r="A3">
        <f>($C3+$D3*$E3)/$E3</f>
        <v>135</v>
      </c>
      <c r="B3" t="s">
        <v>27</v>
      </c>
      <c r="C3">
        <v>100</v>
      </c>
      <c r="D3">
        <v>35</v>
      </c>
      <c r="E3">
        <f>COUNTIFS(Raw!$D:$D,Parameters!$B3)</f>
        <v>1</v>
      </c>
      <c r="H3">
        <f>($K3+$L3*$M3)/$M3</f>
        <v>225</v>
      </c>
      <c r="I3" t="s">
        <v>26</v>
      </c>
      <c r="J3" t="s">
        <v>27</v>
      </c>
      <c r="K3">
        <v>200</v>
      </c>
      <c r="L3">
        <v>25</v>
      </c>
      <c r="M3">
        <f>COUNTIFS(Raw!$D:$D,$I3, Raw!$E:$E,$J3)</f>
        <v>1</v>
      </c>
    </row>
    <row r="4" spans="1:13" x14ac:dyDescent="0.3">
      <c r="H4">
        <f>($K4+$L4*$M4)/$M4</f>
        <v>55</v>
      </c>
      <c r="I4" t="s">
        <v>27</v>
      </c>
      <c r="J4" t="s">
        <v>28</v>
      </c>
      <c r="K4">
        <v>50</v>
      </c>
      <c r="L4">
        <v>5</v>
      </c>
      <c r="M4">
        <f>COUNTIFS(Raw!$D:$D,$I4, Raw!$E:$E,$J4)</f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042FC9-BE9E-8E42-B688-F32825B2F030}">
  <sheetPr codeName="Sheet4"/>
  <dimension ref="A1:E4"/>
  <sheetViews>
    <sheetView workbookViewId="0">
      <selection activeCell="E3" sqref="E3"/>
    </sheetView>
  </sheetViews>
  <sheetFormatPr defaultColWidth="11.19921875" defaultRowHeight="15.6" x14ac:dyDescent="0.3"/>
  <sheetData>
    <row r="1" spans="1:5" x14ac:dyDescent="0.3">
      <c r="A1" s="1" t="s">
        <v>0</v>
      </c>
      <c r="B1" s="1" t="s">
        <v>18</v>
      </c>
      <c r="C1" s="1" t="s">
        <v>7</v>
      </c>
      <c r="D1" s="1" t="s">
        <v>11</v>
      </c>
      <c r="E1" s="1" t="s">
        <v>14</v>
      </c>
    </row>
    <row r="2" spans="1:5" x14ac:dyDescent="0.3">
      <c r="A2" t="s">
        <v>38</v>
      </c>
      <c r="B2" t="s">
        <v>19</v>
      </c>
      <c r="C2" t="s">
        <v>8</v>
      </c>
      <c r="D2" t="s">
        <v>12</v>
      </c>
      <c r="E2" t="s">
        <v>15</v>
      </c>
    </row>
    <row r="3" spans="1:5" x14ac:dyDescent="0.3">
      <c r="A3" t="s">
        <v>39</v>
      </c>
      <c r="B3" t="s">
        <v>20</v>
      </c>
      <c r="C3" t="s">
        <v>9</v>
      </c>
      <c r="D3" t="s">
        <v>12</v>
      </c>
      <c r="E3" t="s">
        <v>16</v>
      </c>
    </row>
    <row r="4" spans="1:5" x14ac:dyDescent="0.3">
      <c r="A4" t="s">
        <v>40</v>
      </c>
      <c r="B4" t="s">
        <v>10</v>
      </c>
      <c r="C4" t="s">
        <v>10</v>
      </c>
      <c r="D4" t="s">
        <v>13</v>
      </c>
      <c r="E4" t="s">
        <v>17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CF8E30-887A-6E41-8D72-632485EB5265}">
  <sheetPr codeName="Sheet1"/>
  <dimension ref="A1:G4"/>
  <sheetViews>
    <sheetView workbookViewId="0">
      <selection activeCell="A5" sqref="A5"/>
    </sheetView>
  </sheetViews>
  <sheetFormatPr defaultColWidth="11.19921875" defaultRowHeight="15.6" x14ac:dyDescent="0.3"/>
  <sheetData>
    <row r="1" spans="1:7" x14ac:dyDescent="0.3">
      <c r="A1" s="1" t="s">
        <v>0</v>
      </c>
      <c r="B1" s="1" t="s">
        <v>1</v>
      </c>
      <c r="C1" s="1" t="s">
        <v>2</v>
      </c>
      <c r="D1" s="1" t="s">
        <v>21</v>
      </c>
      <c r="E1" s="1" t="s">
        <v>4</v>
      </c>
      <c r="F1" s="1" t="s">
        <v>3</v>
      </c>
      <c r="G1" s="1" t="s">
        <v>5</v>
      </c>
    </row>
    <row r="2" spans="1:7" x14ac:dyDescent="0.3">
      <c r="A2" t="s">
        <v>38</v>
      </c>
      <c r="B2" t="s">
        <v>29</v>
      </c>
      <c r="C2" t="s">
        <v>34</v>
      </c>
      <c r="D2" t="s">
        <v>26</v>
      </c>
      <c r="E2" t="s">
        <v>28</v>
      </c>
      <c r="F2" t="s">
        <v>35</v>
      </c>
      <c r="G2">
        <v>2</v>
      </c>
    </row>
    <row r="3" spans="1:7" x14ac:dyDescent="0.3">
      <c r="A3" t="s">
        <v>39</v>
      </c>
      <c r="B3" t="s">
        <v>30</v>
      </c>
      <c r="C3" t="s">
        <v>33</v>
      </c>
      <c r="D3" t="s">
        <v>26</v>
      </c>
      <c r="E3" t="s">
        <v>27</v>
      </c>
      <c r="F3" t="s">
        <v>36</v>
      </c>
      <c r="G3">
        <v>4</v>
      </c>
    </row>
    <row r="4" spans="1:7" x14ac:dyDescent="0.3">
      <c r="A4" t="s">
        <v>40</v>
      </c>
      <c r="B4" t="s">
        <v>31</v>
      </c>
      <c r="C4" t="s">
        <v>32</v>
      </c>
      <c r="D4" t="s">
        <v>27</v>
      </c>
      <c r="E4" t="s">
        <v>28</v>
      </c>
      <c r="F4" t="s">
        <v>35</v>
      </c>
      <c r="G4">
        <v>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120DAF-CBA8-124F-A10B-23AEECA3B661}">
  <sheetPr codeName="Sheet2"/>
  <dimension ref="A1:L2"/>
  <sheetViews>
    <sheetView workbookViewId="0">
      <selection activeCell="C2" sqref="C2"/>
    </sheetView>
  </sheetViews>
  <sheetFormatPr defaultColWidth="11.19921875" defaultRowHeight="15.6" x14ac:dyDescent="0.3"/>
  <sheetData>
    <row r="1" spans="1:12" x14ac:dyDescent="0.3">
      <c r="A1" s="1" t="s">
        <v>37</v>
      </c>
      <c r="B1" s="1" t="s">
        <v>1</v>
      </c>
      <c r="C1" s="1" t="s">
        <v>2</v>
      </c>
      <c r="D1" s="1" t="s">
        <v>21</v>
      </c>
      <c r="E1" s="1" t="s">
        <v>4</v>
      </c>
      <c r="F1" s="1" t="s">
        <v>3</v>
      </c>
      <c r="G1" s="1" t="s">
        <v>5</v>
      </c>
      <c r="H1" s="1" t="s">
        <v>6</v>
      </c>
      <c r="I1" s="1" t="s">
        <v>18</v>
      </c>
      <c r="J1" s="1" t="s">
        <v>7</v>
      </c>
      <c r="K1" s="1" t="s">
        <v>11</v>
      </c>
      <c r="L1" s="1" t="s">
        <v>14</v>
      </c>
    </row>
    <row r="2" spans="1:12" x14ac:dyDescent="0.3">
      <c r="A2" t="str">
        <f>Raw!A:A</f>
        <v>AZ1</v>
      </c>
      <c r="B2" t="str">
        <f>Raw!B:B</f>
        <v>A1</v>
      </c>
      <c r="C2" t="str">
        <f>Raw!C:C</f>
        <v>A1: …</v>
      </c>
      <c r="D2" t="str">
        <f>Raw!D:D</f>
        <v>A</v>
      </c>
      <c r="E2" t="str">
        <f>Raw!E:E</f>
        <v>Z</v>
      </c>
      <c r="F2" t="str">
        <f>Raw!F:F</f>
        <v>C1</v>
      </c>
      <c r="G2">
        <f>Raw!G:G</f>
        <v>2</v>
      </c>
      <c r="H2">
        <f>SUMIFS(INDEX(PARAM.CHARGE.TYPE,,1),INDEX(PARAM.CHARGE.TYPE,,2),Formulas!$D:$D)+SUMIFS(INDEX(PARAM.CHARGE.TYPE_LOCATION,,1),INDEX(PARAM.CHARGE.TYPE_LOCATION,,2),$D:$D,INDEX(PARAM.CHARGE.TYPE_LOCATION,,3),$E:$E)</f>
        <v>310</v>
      </c>
      <c r="I2" t="str" cm="1">
        <f t="array" ref="I2">VLOOKUP($A2,Enrich!$A:$E,COLUMN(Enrich!B:B)-COLUMN(Enrich!$A:$A)+1,FALSE)</f>
        <v>U</v>
      </c>
      <c r="J2" t="str" cm="1">
        <f t="array" ref="J2">VLOOKUP($A2,Enrich!$A:$E,COLUMN(Enrich!C:C)-COLUMN(Enrich!$A:$A)+1,FALSE)</f>
        <v>D</v>
      </c>
      <c r="K2" t="str" cm="1">
        <f t="array" ref="K2">VLOOKUP($A2,Enrich!$A:$E,COLUMN(Enrich!D:D)-COLUMN(Enrich!$A:$A)+1,FALSE)</f>
        <v>Q</v>
      </c>
      <c r="L2" t="str" cm="1">
        <f t="array" ref="L2">VLOOKUP($A2,Enrich!$A:$E,COLUMN(Enrich!E:E)-COLUMN(Enrich!$A:$A)+1,FALSE)</f>
        <v>R1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Cockpit</vt:lpstr>
      <vt:lpstr>Data</vt:lpstr>
      <vt:lpstr>Parameters</vt:lpstr>
      <vt:lpstr>Enrich</vt:lpstr>
      <vt:lpstr>Raw</vt:lpstr>
      <vt:lpstr>Formulas</vt:lpstr>
      <vt:lpstr>PARAM.CHARGE.TYPE</vt:lpstr>
      <vt:lpstr>PARAM.CHARGE.TYPE_LOCATION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Daniel Knoepfel</cp:lastModifiedBy>
  <dcterms:created xsi:type="dcterms:W3CDTF">2021-01-08T13:14:40Z</dcterms:created>
  <dcterms:modified xsi:type="dcterms:W3CDTF">2023-01-29T20:09:12Z</dcterms:modified>
</cp:coreProperties>
</file>